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105" windowWidth="14805" windowHeight="8010"/>
  </bookViews>
  <sheets>
    <sheet name="ツール実行" sheetId="1" r:id="rId1"/>
    <sheet name="説明" sheetId="2" r:id="rId2"/>
    <sheet name="コード一覧" sheetId="4" r:id="rId3"/>
    <sheet name="集約クラステンプレート" sheetId="5" r:id="rId4"/>
    <sheet name="個別クラステンプレート" sheetId="6" r:id="rId5"/>
    <sheet name="改定履歴" sheetId="3" r:id="rId6"/>
  </sheets>
  <functionGroups builtInGroupCount="17"/>
  <calcPr calcId="145621"/>
</workbook>
</file>

<file path=xl/calcChain.xml><?xml version="1.0" encoding="utf-8"?>
<calcChain xmlns="http://schemas.openxmlformats.org/spreadsheetml/2006/main">
  <c r="F21" i="1" l="1"/>
  <c r="H18" i="1" l="1"/>
  <c r="H15" i="1"/>
  <c r="B26" i="4"/>
  <c r="B25" i="4"/>
  <c r="B24" i="4"/>
  <c r="B23" i="4"/>
  <c r="B4" i="4"/>
  <c r="B5" i="4"/>
  <c r="B6" i="4"/>
  <c r="B7" i="4"/>
  <c r="B8" i="4"/>
  <c r="B9" i="4"/>
  <c r="B10" i="4"/>
  <c r="B11" i="4"/>
  <c r="B12" i="4"/>
  <c r="B13" i="4"/>
  <c r="B14" i="4"/>
  <c r="B15" i="4"/>
  <c r="B16" i="4"/>
  <c r="B17" i="4"/>
  <c r="B18" i="4"/>
  <c r="B19" i="4"/>
  <c r="B20" i="4"/>
  <c r="B21" i="4"/>
  <c r="B22" i="4"/>
  <c r="B3" i="4"/>
  <c r="H21" i="1" l="1"/>
</calcChain>
</file>

<file path=xl/sharedStrings.xml><?xml version="1.0" encoding="utf-8"?>
<sst xmlns="http://schemas.openxmlformats.org/spreadsheetml/2006/main" count="132" uniqueCount="127">
  <si>
    <t>#</t>
    <phoneticPr fontId="1"/>
  </si>
  <si>
    <t>パラメータ</t>
    <phoneticPr fontId="1"/>
  </si>
  <si>
    <t>値</t>
    <rPh sb="0" eb="1">
      <t>アタイ</t>
    </rPh>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</si>
  <si>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</si>
  <si>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</si>
  <si>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備考</t>
    <rPh sb="0" eb="2">
      <t>ビコウ</t>
    </rPh>
    <phoneticPr fontId="1"/>
  </si>
  <si>
    <t>【使い方】</t>
    <rPh sb="1" eb="2">
      <t>ツカ</t>
    </rPh>
    <rPh sb="3" eb="4">
      <t>カタ</t>
    </rPh>
    <phoneticPr fontId="1"/>
  </si>
  <si>
    <t>Excelで定義したマスタデータに基づいて、INSERT文を作成します。</t>
    <rPh sb="6" eb="8">
      <t>テイギ</t>
    </rPh>
    <rPh sb="17" eb="18">
      <t>モト</t>
    </rPh>
    <rPh sb="28" eb="29">
      <t>ブン</t>
    </rPh>
    <rPh sb="30" eb="32">
      <t>サクセイ</t>
    </rPh>
    <phoneticPr fontId="1"/>
  </si>
  <si>
    <t>【カスタマイズ】</t>
    <phoneticPr fontId="1"/>
  </si>
  <si>
    <t>以上</t>
    <rPh sb="0" eb="2">
      <t>イジョウ</t>
    </rPh>
    <phoneticPr fontId="1"/>
  </si>
  <si>
    <t>マスタデータのデータ読取位置は、標準モジュールModMstCreateの次の変数を変更してください。</t>
    <rPh sb="10" eb="12">
      <t>ヨミトリ</t>
    </rPh>
    <rPh sb="12" eb="14">
      <t>イチ</t>
    </rPh>
    <rPh sb="16" eb="18">
      <t>ヒョウジュン</t>
    </rPh>
    <rPh sb="36" eb="37">
      <t>ツギ</t>
    </rPh>
    <rPh sb="38" eb="40">
      <t>ヘンスウ</t>
    </rPh>
    <rPh sb="41" eb="43">
      <t>ヘンコウ</t>
    </rPh>
    <phoneticPr fontId="1"/>
  </si>
  <si>
    <t>オプションを指定することで、指定されている値に対して例えばMD5変換、Hex変換等の特別な変換を行うこともできます。</t>
    <rPh sb="6" eb="8">
      <t>シテイ</t>
    </rPh>
    <rPh sb="14" eb="16">
      <t>シテイ</t>
    </rPh>
    <rPh sb="21" eb="22">
      <t>アタイ</t>
    </rPh>
    <rPh sb="23" eb="24">
      <t>タイ</t>
    </rPh>
    <rPh sb="26" eb="27">
      <t>タト</t>
    </rPh>
    <rPh sb="32" eb="34">
      <t>ヘンカン</t>
    </rPh>
    <rPh sb="38" eb="40">
      <t>ヘンカン</t>
    </rPh>
    <rPh sb="40" eb="41">
      <t>ナド</t>
    </rPh>
    <rPh sb="42" eb="44">
      <t>トクベツ</t>
    </rPh>
    <rPh sb="45" eb="47">
      <t>ヘンカン</t>
    </rPh>
    <rPh sb="48" eb="49">
      <t>オコナ</t>
    </rPh>
    <phoneticPr fontId="1"/>
  </si>
  <si>
    <t>独自のオプション変換を実装する場合、標準モジュールModMstCreateOptionに実装してください。</t>
    <rPh sb="0" eb="2">
      <t>ドクジ</t>
    </rPh>
    <rPh sb="8" eb="10">
      <t>ヘンカン</t>
    </rPh>
    <rPh sb="11" eb="13">
      <t>ジッソウ</t>
    </rPh>
    <rPh sb="15" eb="17">
      <t>バアイ</t>
    </rPh>
    <rPh sb="18" eb="20">
      <t>ヒョウジュン</t>
    </rPh>
    <rPh sb="44" eb="46">
      <t>ジッソウ</t>
    </rPh>
    <phoneticPr fontId="1"/>
  </si>
  <si>
    <t>M … MD5ハッシュ値のバイト列を生成します。</t>
    <rPh sb="11" eb="12">
      <t>アタイ</t>
    </rPh>
    <rPh sb="16" eb="17">
      <t>レツ</t>
    </rPh>
    <rPh sb="18" eb="20">
      <t>セイセイ</t>
    </rPh>
    <phoneticPr fontId="1"/>
  </si>
  <si>
    <t>1 … SHA-1ハッシュ値のバイト列を生成します。</t>
    <rPh sb="13" eb="14">
      <t>アタイ</t>
    </rPh>
    <rPh sb="18" eb="19">
      <t>レツ</t>
    </rPh>
    <rPh sb="20" eb="22">
      <t>セイセイ</t>
    </rPh>
    <phoneticPr fontId="1"/>
  </si>
  <si>
    <t>2 … SHA-2(SHA-256)ハッシュ値のバイト列を生成します。</t>
    <phoneticPr fontId="1"/>
  </si>
  <si>
    <t>B … Base64文字列を生成します。(例：'dmFsdWU=')</t>
    <rPh sb="10" eb="13">
      <t>モジレツ</t>
    </rPh>
    <rPh sb="14" eb="16">
      <t>セイセイ</t>
    </rPh>
    <rPh sb="21" eb="22">
      <t>レイ</t>
    </rPh>
    <phoneticPr fontId="1"/>
  </si>
  <si>
    <t>H … 16進数形式の文字列を生成します。(例：'76616C7565')</t>
    <rPh sb="6" eb="8">
      <t>シンスウ</t>
    </rPh>
    <rPh sb="8" eb="10">
      <t>ケイシキ</t>
    </rPh>
    <rPh sb="11" eb="14">
      <t>モジレツ</t>
    </rPh>
    <rPh sb="15" eb="17">
      <t>セイセイ</t>
    </rPh>
    <phoneticPr fontId="1"/>
  </si>
  <si>
    <t>E … PostgreSQLのbytea用の文字列を生成します。(例：E'\\x76616c7565')</t>
    <rPh sb="20" eb="21">
      <t>ヨウ</t>
    </rPh>
    <rPh sb="22" eb="25">
      <t>モジレツ</t>
    </rPh>
    <rPh sb="26" eb="28">
      <t>セイセイ</t>
    </rPh>
    <phoneticPr fontId="1"/>
  </si>
  <si>
    <t>オプションで指定できる値は次の通りです。指定された順番でこれらの変換が行われます。</t>
    <rPh sb="6" eb="8">
      <t>シテイ</t>
    </rPh>
    <rPh sb="11" eb="12">
      <t>アタイ</t>
    </rPh>
    <rPh sb="13" eb="14">
      <t>ツギ</t>
    </rPh>
    <rPh sb="15" eb="16">
      <t>トオ</t>
    </rPh>
    <phoneticPr fontId="1"/>
  </si>
  <si>
    <t>CIDX_START … データが開始される列名(既定値："B")</t>
    <rPh sb="17" eb="19">
      <t>カイシ</t>
    </rPh>
    <rPh sb="22" eb="23">
      <t>レツ</t>
    </rPh>
    <rPh sb="23" eb="24">
      <t>メイ</t>
    </rPh>
    <rPh sb="25" eb="27">
      <t>キテイ</t>
    </rPh>
    <rPh sb="27" eb="28">
      <t>アタイ</t>
    </rPh>
    <phoneticPr fontId="1"/>
  </si>
  <si>
    <t>RIDX_CNAME … カラム名の行番号(既定値：2)</t>
    <rPh sb="16" eb="17">
      <t>メイ</t>
    </rPh>
    <rPh sb="18" eb="21">
      <t>ギョウバンゴウ</t>
    </rPh>
    <phoneticPr fontId="1"/>
  </si>
  <si>
    <t>RIDX_TYPE … 型の行番号(既定値：3)</t>
    <rPh sb="12" eb="13">
      <t>カタ</t>
    </rPh>
    <rPh sb="14" eb="17">
      <t>ギョウバンゴウ</t>
    </rPh>
    <phoneticPr fontId="1"/>
  </si>
  <si>
    <t>RIDX_OPTION … オプション値の行番号(既定値：4)</t>
    <rPh sb="19" eb="20">
      <t>アタイ</t>
    </rPh>
    <rPh sb="21" eb="24">
      <t>ギョウバンゴウ</t>
    </rPh>
    <phoneticPr fontId="1"/>
  </si>
  <si>
    <t>RIDX_DATA … INSERT文の作成対象となるデータ開始行番号(既定値：5)</t>
    <rPh sb="18" eb="19">
      <t>ブン</t>
    </rPh>
    <rPh sb="20" eb="22">
      <t>サクセイ</t>
    </rPh>
    <rPh sb="22" eb="24">
      <t>タイショウ</t>
    </rPh>
    <rPh sb="30" eb="32">
      <t>カイシ</t>
    </rPh>
    <rPh sb="32" eb="35">
      <t>ギョウバンゴウ</t>
    </rPh>
    <phoneticPr fontId="1"/>
  </si>
  <si>
    <t>①</t>
    <phoneticPr fontId="1"/>
  </si>
  <si>
    <t>②</t>
    <phoneticPr fontId="1"/>
  </si>
  <si>
    <t>マスタデータ生成ツールの説明</t>
    <rPh sb="6" eb="8">
      <t>セイセイ</t>
    </rPh>
    <rPh sb="12" eb="14">
      <t>セツメイ</t>
    </rPh>
    <phoneticPr fontId="1"/>
  </si>
  <si>
    <t>ModMstCreateOption.GetOptionVal関数に、追加したオプション処理ができるよう条件分岐を追加してください。</t>
    <rPh sb="31" eb="33">
      <t>カンスウ</t>
    </rPh>
    <rPh sb="35" eb="37">
      <t>ツイカ</t>
    </rPh>
    <rPh sb="44" eb="46">
      <t>ショリ</t>
    </rPh>
    <rPh sb="52" eb="54">
      <t>ジョウケン</t>
    </rPh>
    <rPh sb="54" eb="56">
      <t>ブンキ</t>
    </rPh>
    <rPh sb="57" eb="59">
      <t>ツイカ</t>
    </rPh>
    <phoneticPr fontId="1"/>
  </si>
  <si>
    <t>③</t>
    <phoneticPr fontId="1"/>
  </si>
  <si>
    <t>クエリの出力内容をカスタマイズしたい場合、標準モジュールModMstCreateのProcSheet(), ProcLine()等の関数を修正してください。</t>
    <rPh sb="4" eb="6">
      <t>シュツリョク</t>
    </rPh>
    <rPh sb="6" eb="8">
      <t>ナイヨウ</t>
    </rPh>
    <rPh sb="18" eb="20">
      <t>バアイ</t>
    </rPh>
    <rPh sb="21" eb="23">
      <t>ヒョウジュン</t>
    </rPh>
    <rPh sb="64" eb="65">
      <t>ナド</t>
    </rPh>
    <rPh sb="66" eb="68">
      <t>カンスウ</t>
    </rPh>
    <rPh sb="69" eb="71">
      <t>シュウセイ</t>
    </rPh>
    <phoneticPr fontId="1"/>
  </si>
  <si>
    <t>バイト列をINSERT文として出力できないため、オプションの最後に値を文字列化するB/H/Eのいずれかを指定してください。</t>
    <rPh sb="3" eb="4">
      <t>レツ</t>
    </rPh>
    <rPh sb="15" eb="17">
      <t>シュツリョク</t>
    </rPh>
    <rPh sb="33" eb="34">
      <t>アタイ</t>
    </rPh>
    <rPh sb="35" eb="38">
      <t>モジレツ</t>
    </rPh>
    <rPh sb="38" eb="39">
      <t>カ</t>
    </rPh>
    <phoneticPr fontId="1"/>
  </si>
  <si>
    <t>参考：モジュール構成</t>
    <rPh sb="0" eb="2">
      <t>サンコウ</t>
    </rPh>
    <rPh sb="8" eb="10">
      <t>コウセイ</t>
    </rPh>
    <phoneticPr fontId="1"/>
  </si>
  <si>
    <t>C … PostgreSQLの暗号化関数でラップします。(例："pgp_sym_encrypt('value', 'enckey')")</t>
    <rPh sb="15" eb="18">
      <t>アンゴウカ</t>
    </rPh>
    <rPh sb="18" eb="20">
      <t>カンスウ</t>
    </rPh>
    <phoneticPr fontId="1"/>
  </si>
  <si>
    <t>暗号化キーは、標準モジュールModMstCreateOptionの定数OPT_ENCRYPT_KEYに指定してください。</t>
    <rPh sb="33" eb="35">
      <t>テイスウ</t>
    </rPh>
    <phoneticPr fontId="1"/>
  </si>
  <si>
    <t>例えば、値をMD5したハッシュ化し、Base64で出力したい場合、"MB"の順で指定します。</t>
    <rPh sb="0" eb="1">
      <t>タト</t>
    </rPh>
    <rPh sb="4" eb="5">
      <t>アタイ</t>
    </rPh>
    <rPh sb="15" eb="16">
      <t>カ</t>
    </rPh>
    <rPh sb="25" eb="27">
      <t>シュツリョク</t>
    </rPh>
    <rPh sb="30" eb="32">
      <t>バアイ</t>
    </rPh>
    <rPh sb="38" eb="39">
      <t>ジュン</t>
    </rPh>
    <rPh sb="40" eb="42">
      <t>シテイ</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</si>
  <si>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</si>
  <si>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</si>
  <si>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</si>
  <si>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</si>
  <si>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詳細は「説明」シートをご覧ください。</t>
    <rPh sb="0" eb="2">
      <t>ショウサイ</t>
    </rPh>
    <rPh sb="4" eb="6">
      <t>セツメイ</t>
    </rPh>
    <rPh sb="12" eb="13">
      <t>ラン</t>
    </rPh>
    <phoneticPr fontId="1"/>
  </si>
  <si>
    <t>マスタデータを定義するExcelファイルは、１シート１テーブルを想定しています。</t>
    <rPh sb="7" eb="9">
      <t>テイギ</t>
    </rPh>
    <rPh sb="32" eb="34">
      <t>ソウテイ</t>
    </rPh>
    <phoneticPr fontId="1"/>
  </si>
  <si>
    <t>「ツール実行」シートにて、対象Excelブックファイル、シート名を指定することができます。</t>
    <rPh sb="4" eb="6">
      <t>ジッコウ</t>
    </rPh>
    <rPh sb="13" eb="15">
      <t>タイショウ</t>
    </rPh>
    <rPh sb="31" eb="32">
      <t>メイ</t>
    </rPh>
    <rPh sb="33" eb="35">
      <t>シテイ</t>
    </rPh>
    <phoneticPr fontId="1"/>
  </si>
  <si>
    <t>シート名をテーブル名、シート上の物理カラム名と型、実際のデータ値がシートに定義されている想定です。</t>
    <rPh sb="3" eb="4">
      <t>メイ</t>
    </rPh>
    <rPh sb="9" eb="10">
      <t>メイ</t>
    </rPh>
    <rPh sb="14" eb="15">
      <t>ジョウ</t>
    </rPh>
    <rPh sb="16" eb="18">
      <t>ブツリ</t>
    </rPh>
    <rPh sb="21" eb="22">
      <t>メイ</t>
    </rPh>
    <rPh sb="23" eb="24">
      <t>カタ</t>
    </rPh>
    <rPh sb="25" eb="27">
      <t>ジッサイ</t>
    </rPh>
    <rPh sb="31" eb="32">
      <t>アタイ</t>
    </rPh>
    <rPh sb="37" eb="39">
      <t>テイギ</t>
    </rPh>
    <rPh sb="44" eb="46">
      <t>ソウテイ</t>
    </rPh>
    <phoneticPr fontId="1"/>
  </si>
  <si>
    <t>ただし、任意のオプションが指定されている場合、上記内容は無視し、オプション側の処理を行う。</t>
    <rPh sb="4" eb="6">
      <t>ニンイ</t>
    </rPh>
    <rPh sb="13" eb="15">
      <t>シテイ</t>
    </rPh>
    <rPh sb="20" eb="22">
      <t>バアイ</t>
    </rPh>
    <rPh sb="23" eb="25">
      <t>ジョウキ</t>
    </rPh>
    <rPh sb="25" eb="27">
      <t>ナイヨウ</t>
    </rPh>
    <rPh sb="28" eb="30">
      <t>ムシ</t>
    </rPh>
    <rPh sb="37" eb="38">
      <t>ガワ</t>
    </rPh>
    <rPh sb="39" eb="41">
      <t>ショリ</t>
    </rPh>
    <rPh sb="42" eb="43">
      <t>オコナ</t>
    </rPh>
    <phoneticPr fontId="1"/>
  </si>
  <si>
    <t>オプション：</t>
    <phoneticPr fontId="1"/>
  </si>
  <si>
    <t>どちらの場合でも、値が空の場合は、"null"とする。</t>
    <phoneticPr fontId="1"/>
  </si>
  <si>
    <t>入力ファイル仕様（マスタデータ）</t>
    <rPh sb="0" eb="2">
      <t>ニュウリョク</t>
    </rPh>
    <rPh sb="6" eb="8">
      <t>シヨウ</t>
    </rPh>
    <phoneticPr fontId="1"/>
  </si>
  <si>
    <t>INSERT文の生成仕様</t>
    <rPh sb="6" eb="7">
      <t>ブン</t>
    </rPh>
    <rPh sb="8" eb="10">
      <t>セイセイ</t>
    </rPh>
    <rPh sb="10" eb="12">
      <t>シヨウ</t>
    </rPh>
    <phoneticPr fontId="1"/>
  </si>
  <si>
    <t>オプションの詳細は次項を参照のこと。</t>
    <rPh sb="6" eb="8">
      <t>ショウサイ</t>
    </rPh>
    <rPh sb="9" eb="11">
      <t>ジコウ</t>
    </rPh>
    <rPh sb="12" eb="14">
      <t>サンショウ</t>
    </rPh>
    <phoneticPr fontId="1"/>
  </si>
  <si>
    <t>次の書式でテーブル毎のINSERT文を生成します。</t>
    <rPh sb="0" eb="1">
      <t>ツギ</t>
    </rPh>
    <rPh sb="2" eb="4">
      <t>ショシキ</t>
    </rPh>
    <rPh sb="9" eb="10">
      <t>ゴト</t>
    </rPh>
    <rPh sb="17" eb="18">
      <t>ブン</t>
    </rPh>
    <rPh sb="19" eb="21">
      <t>セイセイ</t>
    </rPh>
    <phoneticPr fontId="1"/>
  </si>
  <si>
    <t>-- truncate table [テーブル名];</t>
    <rPh sb="23" eb="24">
      <t>メイ</t>
    </rPh>
    <phoneticPr fontId="1"/>
  </si>
  <si>
    <t>-- ★対象テーブル: [テーブル名]</t>
    <rPh sb="17" eb="18">
      <t>メイ</t>
    </rPh>
    <phoneticPr fontId="1"/>
  </si>
  <si>
    <t>insert into [テーブル名]([カラム名1], [カラム名2], …) values([値1], [値2], …);</t>
    <phoneticPr fontId="1"/>
  </si>
  <si>
    <t>[テーブル名]：Excelシート名</t>
    <rPh sb="5" eb="6">
      <t>メイ</t>
    </rPh>
    <rPh sb="16" eb="17">
      <t>メイ</t>
    </rPh>
    <phoneticPr fontId="1"/>
  </si>
  <si>
    <t>[]で記載された各パラメータの説明は次の通り。</t>
    <rPh sb="3" eb="5">
      <t>キサイ</t>
    </rPh>
    <rPh sb="8" eb="9">
      <t>カク</t>
    </rPh>
    <rPh sb="15" eb="17">
      <t>セツメイ</t>
    </rPh>
    <rPh sb="18" eb="19">
      <t>ツギ</t>
    </rPh>
    <rPh sb="20" eb="21">
      <t>トオ</t>
    </rPh>
    <phoneticPr fontId="1"/>
  </si>
  <si>
    <t>insert …</t>
    <phoneticPr fontId="1"/>
  </si>
  <si>
    <t>出力ファイル仕様：</t>
    <rPh sb="0" eb="2">
      <t>シュツリョク</t>
    </rPh>
    <rPh sb="6" eb="8">
      <t>シヨウ</t>
    </rPh>
    <phoneticPr fontId="1"/>
  </si>
  <si>
    <t>[値1], [値2], ...：</t>
    <rPh sb="1" eb="2">
      <t>アタイ</t>
    </rPh>
    <rPh sb="7" eb="8">
      <t>アタイ</t>
    </rPh>
    <phoneticPr fontId="1"/>
  </si>
  <si>
    <t>[カラム名1], [カラム名2], ...：Excelシート上の「物理名」列</t>
    <rPh sb="4" eb="5">
      <t>メイ</t>
    </rPh>
    <rPh sb="13" eb="14">
      <t>メイ</t>
    </rPh>
    <rPh sb="30" eb="31">
      <t>ジョウ</t>
    </rPh>
    <rPh sb="33" eb="35">
      <t>ブツリ</t>
    </rPh>
    <rPh sb="35" eb="36">
      <t>メイ</t>
    </rPh>
    <rPh sb="37" eb="38">
      <t>レツ</t>
    </rPh>
    <phoneticPr fontId="1"/>
  </si>
  <si>
    <t>生成したINSERT文はUTF-8(BOMなし)のテキストファイルとして出力する。（既定でUTF-8を使用するDBクライアントツールを想定。）</t>
    <rPh sb="0" eb="2">
      <t>セイセイ</t>
    </rPh>
    <rPh sb="10" eb="11">
      <t>ブン</t>
    </rPh>
    <rPh sb="42" eb="44">
      <t>キテイ</t>
    </rPh>
    <rPh sb="51" eb="53">
      <t>シヨウ</t>
    </rPh>
    <rPh sb="67" eb="69">
      <t>ソウテイ</t>
    </rPh>
    <phoneticPr fontId="1"/>
  </si>
  <si>
    <t>N … 列・値を出力しない。</t>
    <rPh sb="4" eb="5">
      <t>レツ</t>
    </rPh>
    <rPh sb="6" eb="7">
      <t>アタイ</t>
    </rPh>
    <rPh sb="8" eb="10">
      <t>シュツリョク</t>
    </rPh>
    <phoneticPr fontId="1"/>
  </si>
  <si>
    <t>型がchar/varchar/textを含む場合は値を引用符(')で囲う。それ以外の場合は、そのままの値（引用符なし）とする。</t>
    <phoneticPr fontId="1"/>
  </si>
  <si>
    <t>④</t>
    <phoneticPr fontId="1"/>
  </si>
  <si>
    <t>文字列型（値を引用符で囲いたい）として扱いたい型がある場合、標準モジュールModMstCreateのIsStrType()を修正してください。</t>
    <rPh sb="0" eb="3">
      <t>モジレツ</t>
    </rPh>
    <rPh sb="3" eb="4">
      <t>ガタ</t>
    </rPh>
    <rPh sb="5" eb="6">
      <t>アタイ</t>
    </rPh>
    <rPh sb="7" eb="10">
      <t>インヨウフ</t>
    </rPh>
    <rPh sb="11" eb="12">
      <t>カコ</t>
    </rPh>
    <rPh sb="19" eb="20">
      <t>アツカ</t>
    </rPh>
    <rPh sb="23" eb="24">
      <t>カタ</t>
    </rPh>
    <rPh sb="27" eb="29">
      <t>バアイ</t>
    </rPh>
    <rPh sb="62" eb="64">
      <t>シュウセイ</t>
    </rPh>
    <phoneticPr fontId="1"/>
  </si>
  <si>
    <t>複数のExcelブック・シートから生成したINSERT文は、「ツール実行」シートの「出力先ファイル」で指定したファイルに全て出力する。</t>
    <rPh sb="0" eb="2">
      <t>フクスウ</t>
    </rPh>
    <rPh sb="17" eb="19">
      <t>セイセイ</t>
    </rPh>
    <rPh sb="27" eb="28">
      <t>ブン</t>
    </rPh>
    <rPh sb="42" eb="44">
      <t>シュツリョク</t>
    </rPh>
    <rPh sb="44" eb="45">
      <t>サキ</t>
    </rPh>
    <rPh sb="51" eb="53">
      <t>シテイ</t>
    </rPh>
    <rPh sb="60" eb="61">
      <t>スベテ</t>
    </rPh>
    <rPh sb="62" eb="64">
      <t>シュツリョク</t>
    </rPh>
    <phoneticPr fontId="1"/>
  </si>
  <si>
    <t>No.</t>
    <phoneticPr fontId="1"/>
  </si>
  <si>
    <t>ユーザ種別</t>
    <rPh sb="3" eb="5">
      <t>シュベツ</t>
    </rPh>
    <phoneticPr fontId="1"/>
  </si>
  <si>
    <t>UserType</t>
    <phoneticPr fontId="1"/>
  </si>
  <si>
    <t>管理者</t>
    <rPh sb="0" eb="3">
      <t>カンリシャ</t>
    </rPh>
    <phoneticPr fontId="1"/>
  </si>
  <si>
    <t>Admin</t>
  </si>
  <si>
    <t>1</t>
    <phoneticPr fontId="1"/>
  </si>
  <si>
    <t>一般</t>
    <rPh sb="0" eb="2">
      <t>イッパン</t>
    </rPh>
    <phoneticPr fontId="1"/>
  </si>
  <si>
    <t>Normal</t>
  </si>
  <si>
    <t>削除フラグ</t>
    <rPh sb="0" eb="2">
      <t>サクジョ</t>
    </rPh>
    <phoneticPr fontId="1"/>
  </si>
  <si>
    <t>DeleteFlag</t>
    <phoneticPr fontId="1"/>
  </si>
  <si>
    <t>有効</t>
    <rPh sb="0" eb="2">
      <t>ユウコウ</t>
    </rPh>
    <phoneticPr fontId="1"/>
  </si>
  <si>
    <t>無効</t>
    <rPh sb="0" eb="2">
      <t>ムコウ</t>
    </rPh>
    <phoneticPr fontId="1"/>
  </si>
  <si>
    <t>Invalid</t>
  </si>
  <si>
    <t>0</t>
    <phoneticPr fontId="1"/>
  </si>
  <si>
    <t>提出状況</t>
    <rPh sb="0" eb="2">
      <t>テイシュツ</t>
    </rPh>
    <rPh sb="2" eb="4">
      <t>ジョウキョウ</t>
    </rPh>
    <phoneticPr fontId="1"/>
  </si>
  <si>
    <t>SubmitStatus</t>
    <phoneticPr fontId="1"/>
  </si>
  <si>
    <t>未提出</t>
    <rPh sb="0" eb="3">
      <t>ミテイシュツ</t>
    </rPh>
    <phoneticPr fontId="1"/>
  </si>
  <si>
    <t>提出済</t>
    <rPh sb="0" eb="2">
      <t>テイシュツ</t>
    </rPh>
    <rPh sb="2" eb="3">
      <t>ズ</t>
    </rPh>
    <phoneticPr fontId="1"/>
  </si>
  <si>
    <t>不明</t>
    <rPh sb="0" eb="2">
      <t>フメイ</t>
    </rPh>
    <phoneticPr fontId="1"/>
  </si>
  <si>
    <t>未</t>
    <rPh sb="0" eb="1">
      <t>ミ</t>
    </rPh>
    <phoneticPr fontId="1"/>
  </si>
  <si>
    <t>済</t>
    <rPh sb="0" eb="1">
      <t>ズ</t>
    </rPh>
    <phoneticPr fontId="1"/>
  </si>
  <si>
    <t>？</t>
    <phoneticPr fontId="1"/>
  </si>
  <si>
    <t>NotYet</t>
    <phoneticPr fontId="1"/>
  </si>
  <si>
    <t>Done</t>
    <phoneticPr fontId="1"/>
  </si>
  <si>
    <t>Unknown</t>
    <phoneticPr fontId="1"/>
  </si>
  <si>
    <t>9</t>
    <phoneticPr fontId="1"/>
  </si>
  <si>
    <t>01</t>
    <phoneticPr fontId="1"/>
  </si>
  <si>
    <t>0</t>
    <phoneticPr fontId="1"/>
  </si>
  <si>
    <t>10</t>
    <phoneticPr fontId="1"/>
  </si>
  <si>
    <t>09</t>
    <phoneticPr fontId="1"/>
  </si>
  <si>
    <t>Agent</t>
    <phoneticPr fontId="1"/>
  </si>
  <si>
    <t>一般代理</t>
    <rPh sb="0" eb="2">
      <t>イッパン</t>
    </rPh>
    <rPh sb="2" eb="4">
      <t>ダイリ</t>
    </rPh>
    <phoneticPr fontId="1"/>
  </si>
  <si>
    <t>Valid</t>
    <phoneticPr fontId="1"/>
  </si>
  <si>
    <t>1</t>
    <phoneticPr fontId="1"/>
  </si>
  <si>
    <t>区分データ生成ツール</t>
    <rPh sb="0" eb="2">
      <t>クブン</t>
    </rPh>
    <rPh sb="5" eb="7">
      <t>セイセイ</t>
    </rPh>
    <phoneticPr fontId="1"/>
  </si>
  <si>
    <t>区分分類名</t>
    <rPh sb="0" eb="2">
      <t>クブン</t>
    </rPh>
    <rPh sb="2" eb="4">
      <t>ブンルイ</t>
    </rPh>
    <rPh sb="4" eb="5">
      <t>メイ</t>
    </rPh>
    <phoneticPr fontId="1"/>
  </si>
  <si>
    <t>区分分類名(物理)</t>
    <rPh sb="0" eb="2">
      <t>クブン</t>
    </rPh>
    <rPh sb="2" eb="4">
      <t>ブンルイ</t>
    </rPh>
    <rPh sb="4" eb="5">
      <t>メイ</t>
    </rPh>
    <rPh sb="6" eb="8">
      <t>ブツリ</t>
    </rPh>
    <phoneticPr fontId="1"/>
  </si>
  <si>
    <t>区分名</t>
    <rPh sb="0" eb="2">
      <t>クブン</t>
    </rPh>
    <rPh sb="2" eb="3">
      <t>メイ</t>
    </rPh>
    <phoneticPr fontId="1"/>
  </si>
  <si>
    <t>区分名略称</t>
    <rPh sb="0" eb="2">
      <t>クブン</t>
    </rPh>
    <rPh sb="2" eb="3">
      <t>メイ</t>
    </rPh>
    <rPh sb="3" eb="5">
      <t>リャクショウ</t>
    </rPh>
    <phoneticPr fontId="1"/>
  </si>
  <si>
    <t>区分名(物理)</t>
    <rPh sb="0" eb="2">
      <t>クブン</t>
    </rPh>
    <rPh sb="2" eb="3">
      <t>メイ</t>
    </rPh>
    <rPh sb="4" eb="6">
      <t>ブツリ</t>
    </rPh>
    <phoneticPr fontId="1"/>
  </si>
  <si>
    <t>区分値</t>
    <rPh sb="0" eb="2">
      <t>クブン</t>
    </rPh>
    <rPh sb="2" eb="3">
      <t>アタイ</t>
    </rPh>
    <phoneticPr fontId="1"/>
  </si>
  <si>
    <t>区分一覧に基づいて、列挙体クラス、INSERT文を作成します。</t>
    <rPh sb="0" eb="2">
      <t>クブン</t>
    </rPh>
    <rPh sb="2" eb="4">
      <t>イチラン</t>
    </rPh>
    <rPh sb="5" eb="6">
      <t>モト</t>
    </rPh>
    <rPh sb="10" eb="12">
      <t>レッキョ</t>
    </rPh>
    <rPh sb="12" eb="13">
      <t>タイ</t>
    </rPh>
    <rPh sb="23" eb="24">
      <t>ブン</t>
    </rPh>
    <rPh sb="25" eb="27">
      <t>サクセイ</t>
    </rPh>
    <phoneticPr fontId="1"/>
  </si>
  <si>
    <t>INSERT文作成</t>
    <rPh sb="6" eb="7">
      <t>ブン</t>
    </rPh>
    <rPh sb="7" eb="9">
      <t>サクセイ</t>
    </rPh>
    <phoneticPr fontId="1"/>
  </si>
  <si>
    <t>テーブル名</t>
    <rPh sb="4" eb="5">
      <t>メイ</t>
    </rPh>
    <phoneticPr fontId="1"/>
  </si>
  <si>
    <t>MstCode</t>
    <phoneticPr fontId="1"/>
  </si>
  <si>
    <t>列挙体クラス生成(集約クラス)</t>
    <rPh sb="0" eb="2">
      <t>レッキョ</t>
    </rPh>
    <rPh sb="2" eb="3">
      <t>タイ</t>
    </rPh>
    <rPh sb="6" eb="8">
      <t>セイセイ</t>
    </rPh>
    <rPh sb="9" eb="11">
      <t>シュウヤク</t>
    </rPh>
    <phoneticPr fontId="1"/>
  </si>
  <si>
    <t>列挙体クラス生成(個別クラス)</t>
    <rPh sb="0" eb="2">
      <t>レッキョ</t>
    </rPh>
    <rPh sb="2" eb="3">
      <t>タイ</t>
    </rPh>
    <rPh sb="6" eb="8">
      <t>セイセイ</t>
    </rPh>
    <rPh sb="9" eb="11">
      <t>コベツ</t>
    </rPh>
    <phoneticPr fontId="1"/>
  </si>
  <si>
    <t>次のパラメータを適宜変更し、「区分データ生成」ボタンをクリックしてください。</t>
    <rPh sb="0" eb="1">
      <t>ツギ</t>
    </rPh>
    <rPh sb="8" eb="10">
      <t>テキギ</t>
    </rPh>
    <rPh sb="10" eb="12">
      <t>ヘンコウ</t>
    </rPh>
    <rPh sb="15" eb="17">
      <t>クブン</t>
    </rPh>
    <rPh sb="20" eb="22">
      <t>セイセイ</t>
    </rPh>
    <phoneticPr fontId="1"/>
  </si>
  <si>
    <t>パッケージ名</t>
    <rPh sb="5" eb="6">
      <t>メイ</t>
    </rPh>
    <phoneticPr fontId="1"/>
  </si>
  <si>
    <t>開始部分のテンプレート</t>
    <rPh sb="0" eb="2">
      <t>カイシ</t>
    </rPh>
    <rPh sb="2" eb="4">
      <t>ブブン</t>
    </rPh>
    <phoneticPr fontId="1"/>
  </si>
  <si>
    <t>終了部分のテンプレート</t>
    <rPh sb="0" eb="2">
      <t>シュウリョウ</t>
    </rPh>
    <rPh sb="2" eb="4">
      <t>ブブン</t>
    </rPh>
    <phoneticPr fontId="1"/>
  </si>
  <si>
    <t>メイン部分のテンプレート　※コード毎に繰り返し</t>
    <rPh sb="3" eb="5">
      <t>ブブン</t>
    </rPh>
    <rPh sb="17" eb="18">
      <t>ゴト</t>
    </rPh>
    <rPh sb="19" eb="20">
      <t>ク</t>
    </rPh>
    <rPh sb="21" eb="22">
      <t>カエ</t>
    </rPh>
    <phoneticPr fontId="1"/>
  </si>
  <si>
    <t>1.0.0</t>
    <phoneticPr fontId="1"/>
  </si>
  <si>
    <t>example.web.constants</t>
    <phoneticPr fontId="1"/>
  </si>
  <si>
    <t>example.web.constants.enums</t>
    <phoneticPr fontId="1"/>
  </si>
  <si>
    <t>.\output\src\main\java\example\web\constants\enums</t>
    <phoneticPr fontId="1"/>
  </si>
  <si>
    <t>出力先ファイル名(*1)</t>
    <rPh sb="0" eb="2">
      <t>シュツリョク</t>
    </rPh>
    <rPh sb="2" eb="3">
      <t>サキ</t>
    </rPh>
    <rPh sb="7" eb="8">
      <t>メイ</t>
    </rPh>
    <phoneticPr fontId="1"/>
  </si>
  <si>
    <t>出力先フォルダ名(*1)</t>
    <rPh sb="0" eb="2">
      <t>シュツリョク</t>
    </rPh>
    <rPh sb="2" eb="3">
      <t>サキ</t>
    </rPh>
    <rPh sb="7" eb="8">
      <t>メイ</t>
    </rPh>
    <phoneticPr fontId="1"/>
  </si>
  <si>
    <t>出力ファイル(*1)</t>
    <rPh sb="0" eb="2">
      <t>シュツリョク</t>
    </rPh>
    <phoneticPr fontId="1"/>
  </si>
  <si>
    <t>*1: フォルダがない場合は自動作成</t>
    <rPh sb="11" eb="13">
      <t>バアイ</t>
    </rPh>
    <rPh sb="14" eb="16">
      <t>ジドウ</t>
    </rPh>
    <rPh sb="16" eb="18">
      <t>サクセイ</t>
    </rPh>
    <phoneticPr fontId="1"/>
  </si>
  <si>
    <t>.\output\src\main\java\example\web\constants\CodeEnums.java</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</si>
</sst>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
      <sz val="11"/>
      <color theme="0"/>
      <name val="Meiryo UI"/>
      <family val="3"/>
      <charset val="128"/>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32">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0" xfId="0" applyNumberFormat="1" applyFont="1" applyAlignment="1">
      <alignment horizontal="right"/>
    </xf>
    <xf numFmtId="49" fontId="3" fillId="0" borderId="1" xfId="0" applyNumberFormat="1" applyFont="1" applyBorder="1" applyAlignment="1">
      <alignment vertical="top" wrapText="1"/>
    </xf>
    <xf numFmtId="0" fontId="3" fillId="0" borderId="1" xfId="0" applyNumberFormat="1" applyFont="1" applyBorder="1" applyAlignment="1">
      <alignment horizontal="right" vertical="center"/>
    </xf>
    <xf numFmtId="49" fontId="3" fillId="0" borderId="0" xfId="0" applyNumberFormat="1" applyFont="1" applyAlignment="1">
      <alignment horizontal="left" indent="2"/>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0" fontId="0" fillId="0" borderId="0" xfId="0" applyAlignment="1">
      <alignment wrapText="1"/>
    </xf>
    <xf numFmtId="49" fontId="0" fillId="0" borderId="0" xfId="0" applyNumberFormat="1" applyAlignment="1">
      <alignment wrapText="1"/>
    </xf>
    <xf numFmtId="49" fontId="0" fillId="0" borderId="0" xfId="0" applyNumberFormat="1"/>
    <xf numFmtId="49" fontId="2" fillId="2" borderId="2" xfId="0" applyNumberFormat="1" applyFont="1" applyFill="1" applyBorder="1"/>
    <xf numFmtId="49" fontId="2" fillId="2" borderId="3" xfId="0" applyNumberFormat="1" applyFont="1" applyFill="1" applyBorder="1"/>
    <xf numFmtId="49" fontId="3" fillId="0" borderId="3" xfId="0" applyNumberFormat="1" applyFont="1" applyBorder="1" applyAlignment="1">
      <alignment horizontal="left" vertical="center" wrapText="1" indent="1"/>
    </xf>
    <xf numFmtId="49" fontId="3" fillId="0" borderId="3" xfId="0" applyNumberFormat="1" applyFont="1" applyBorder="1" applyAlignment="1">
      <alignment horizontal="left" vertical="center" indent="1"/>
    </xf>
    <xf numFmtId="49" fontId="3" fillId="0" borderId="3" xfId="0" applyNumberFormat="1" applyFont="1" applyBorder="1" applyAlignment="1">
      <alignment horizontal="left" vertical="center" wrapText="1"/>
    </xf>
    <xf numFmtId="49" fontId="3" fillId="0" borderId="3" xfId="0" applyNumberFormat="1" applyFont="1" applyBorder="1" applyAlignment="1">
      <alignment horizontal="left" vertical="center"/>
    </xf>
    <xf numFmtId="49" fontId="8" fillId="0" borderId="2" xfId="0" applyNumberFormat="1" applyFont="1" applyBorder="1" applyAlignment="1">
      <alignment horizontal="left" vertical="center" wrapText="1" indent="1"/>
    </xf>
    <xf numFmtId="49" fontId="8" fillId="0" borderId="2" xfId="0" applyNumberFormat="1" applyFont="1" applyBorder="1" applyAlignment="1">
      <alignment horizontal="left" vertical="center" indent="2"/>
    </xf>
    <xf numFmtId="49" fontId="8" fillId="0" borderId="2" xfId="0" applyNumberFormat="1" applyFont="1" applyBorder="1" applyAlignment="1">
      <alignment horizontal="left" vertical="center" indent="1"/>
    </xf>
    <xf numFmtId="0" fontId="6" fillId="0" borderId="0" xfId="0" applyFont="1"/>
    <xf numFmtId="49" fontId="3" fillId="0" borderId="0" xfId="0" applyNumberFormat="1" applyFont="1" applyAlignment="1">
      <alignment vertical="center"/>
    </xf>
    <xf numFmtId="0" fontId="7" fillId="0" borderId="0" xfId="1" applyNumberFormat="1" applyAlignment="1">
      <alignment vertical="center"/>
    </xf>
    <xf numFmtId="0" fontId="3" fillId="0" borderId="1" xfId="0" applyNumberFormat="1" applyFont="1" applyBorder="1" applyAlignment="1">
      <alignment vertical="center" wrapText="1"/>
    </xf>
  </cellXfs>
  <cellStyles count="2">
    <cellStyle name="ハイパーリンク" xfId="1" builtinId="8"/>
    <cellStyle name="標準" xfId="0" builtinId="0"/>
  </cellStyles>
  <dxfs count="2">
    <dxf>
      <numFmt numFmtId="30" formatCode="@"/>
    </dxf>
    <dxf>
      <alignment horizontal="general" vertical="bottom"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13" lockText="1" noThreeD="1"/>
</file>

<file path=xl/ctrlProps/ctrlProp3.xml><?xml version="1.0" encoding="utf-8"?>
<formControlPr xmlns="http://schemas.microsoft.com/office/spreadsheetml/2009/9/main" objectType="CheckBox" checked="Checked" fmlaLink="$D$16" lockText="1" noThreeD="1"/>
</file>

<file path=xl/ctrlProps/ctrlProp4.xml><?xml version="1.0" encoding="utf-8"?>
<formControlPr xmlns="http://schemas.microsoft.com/office/spreadsheetml/2009/9/main" objectType="CheckBox" checked="Checked" fmlaLink="$D$19"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1390650</xdr:colOff>
          <xdr:row>23</xdr:row>
          <xdr:rowOff>171450</xdr:rowOff>
        </xdr:from>
        <xdr:to>
          <xdr:col>6</xdr:col>
          <xdr:colOff>2667000</xdr:colOff>
          <xdr:row>25</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区分データ生成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0</xdr:colOff>
          <xdr:row>13</xdr:row>
          <xdr:rowOff>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0</xdr:colOff>
          <xdr:row>16</xdr:row>
          <xdr:rowOff>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2610970</xdr:colOff>
      <xdr:row>7</xdr:row>
      <xdr:rowOff>90185</xdr:rowOff>
    </xdr:from>
    <xdr:ext cx="3025589" cy="861774"/>
    <xdr:sp macro="" textlink="">
      <xdr:nvSpPr>
        <xdr:cNvPr id="4" name="テキスト ボックス 3"/>
        <xdr:cNvSpPr txBox="1"/>
      </xdr:nvSpPr>
      <xdr:spPr>
        <a:xfrm>
          <a:off x="6409764" y="1513332"/>
          <a:ext cx="3025589" cy="861774"/>
        </a:xfrm>
        <a:prstGeom prst="rect">
          <a:avLst/>
        </a:prstGeom>
        <a:noFill/>
        <a:ln>
          <a:solidFill>
            <a:schemeClr val="bg1">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nSpc>
              <a:spcPts val="1200"/>
            </a:lnSpc>
          </a:pPr>
          <a:r>
            <a:rPr kumimoji="1" lang="en-US" altLang="ja-JP" sz="900">
              <a:latin typeface="ＭＳ ゴシック" panose="020B0609070205080204" pitchFamily="49" charset="-128"/>
              <a:ea typeface="ＭＳ ゴシック" panose="020B0609070205080204" pitchFamily="49" charset="-128"/>
            </a:rPr>
            <a:t>insert into MST_XXX(comp_id, comp_name, ...)</a:t>
          </a:r>
        </a:p>
        <a:p>
          <a:pPr>
            <a:lnSpc>
              <a:spcPts val="1200"/>
            </a:lnSpc>
          </a:pPr>
          <a:r>
            <a:rPr kumimoji="1" lang="ja-JP" altLang="en-US" sz="900" baseline="0">
              <a:latin typeface="ＭＳ ゴシック" panose="020B0609070205080204" pitchFamily="49" charset="-128"/>
              <a:ea typeface="ＭＳ ゴシック" panose="020B0609070205080204" pitchFamily="49" charset="-128"/>
            </a:rPr>
            <a:t>    </a:t>
          </a:r>
          <a:r>
            <a:rPr kumimoji="1" lang="en-US" altLang="ja-JP" sz="900">
              <a:latin typeface="ＭＳ ゴシック" panose="020B0609070205080204" pitchFamily="49" charset="-128"/>
              <a:ea typeface="ＭＳ ゴシック" panose="020B0609070205080204" pitchFamily="49" charset="-128"/>
            </a:rPr>
            <a:t>values("00001", "</a:t>
          </a:r>
          <a:r>
            <a:rPr kumimoji="1" lang="ja-JP" altLang="en-US" sz="900">
              <a:latin typeface="ＭＳ ゴシック" panose="020B0609070205080204" pitchFamily="49" charset="-128"/>
              <a:ea typeface="ＭＳ ゴシック" panose="020B0609070205080204" pitchFamily="49" charset="-128"/>
            </a:rPr>
            <a:t>株式会社アルファ</a:t>
          </a:r>
          <a:r>
            <a:rPr kumimoji="1" lang="en-US" altLang="ja-JP" sz="900">
              <a:latin typeface="ＭＳ ゴシック" panose="020B0609070205080204" pitchFamily="49" charset="-128"/>
              <a:ea typeface="ＭＳ ゴシック" panose="020B0609070205080204" pitchFamily="49" charset="-128"/>
            </a:rPr>
            <a:t>",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insert into MST_XXX(comp_id, comp_name,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baseline="0">
              <a:solidFill>
                <a:schemeClr val="tx1"/>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values("00001", "</a:t>
          </a:r>
          <a:r>
            <a:rPr kumimoji="1" lang="ja-JP" altLang="en-US" sz="900">
              <a:solidFill>
                <a:schemeClr val="tx1"/>
              </a:solidFill>
              <a:effectLst/>
              <a:latin typeface="ＭＳ ゴシック" panose="020B0609070205080204" pitchFamily="49" charset="-128"/>
              <a:ea typeface="ＭＳ ゴシック" panose="020B0609070205080204" pitchFamily="49" charset="-128"/>
              <a:cs typeface="+mn-cs"/>
            </a:rPr>
            <a:t>株式会社ベータ</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 ...);</a:t>
          </a:r>
          <a:endParaRPr lang="ja-JP" altLang="ja-JP" sz="900">
            <a:effectLst/>
            <a:latin typeface="ＭＳ ゴシック" panose="020B0609070205080204" pitchFamily="49" charset="-128"/>
            <a:ea typeface="ＭＳ ゴシック" panose="020B0609070205080204" pitchFamily="49" charset="-128"/>
          </a:endParaRPr>
        </a:p>
        <a:p>
          <a:pPr>
            <a:lnSpc>
              <a:spcPts val="1200"/>
            </a:lnSpc>
          </a:pPr>
          <a:r>
            <a:rPr kumimoji="1" lang="en-US" altLang="ja-JP" sz="900">
              <a:latin typeface="ＭＳ ゴシック" panose="020B0609070205080204" pitchFamily="49" charset="-128"/>
              <a:ea typeface="ＭＳ ゴシック" panose="020B0609070205080204" pitchFamily="49" charset="-128"/>
            </a:rPr>
            <a:t>...</a:t>
          </a:r>
          <a:endParaRPr kumimoji="1" lang="ja-JP" altLang="en-US" sz="900">
            <a:latin typeface="ＭＳ ゴシック" panose="020B0609070205080204" pitchFamily="49" charset="-128"/>
            <a:ea typeface="ＭＳ ゴシック" panose="020B0609070205080204" pitchFamily="49" charset="-128"/>
          </a:endParaRPr>
        </a:p>
      </xdr:txBody>
    </xdr:sp>
    <xdr:clientData/>
  </xdr:oneCellAnchor>
  <xdr:twoCellAnchor>
    <xdr:from>
      <xdr:col>6</xdr:col>
      <xdr:colOff>381001</xdr:colOff>
      <xdr:row>8</xdr:row>
      <xdr:rowOff>95249</xdr:rowOff>
    </xdr:from>
    <xdr:to>
      <xdr:col>6</xdr:col>
      <xdr:colOff>818031</xdr:colOff>
      <xdr:row>10</xdr:row>
      <xdr:rowOff>140072</xdr:rowOff>
    </xdr:to>
    <xdr:sp macro="" textlink="">
      <xdr:nvSpPr>
        <xdr:cNvPr id="5" name="右矢印 4"/>
        <xdr:cNvSpPr/>
      </xdr:nvSpPr>
      <xdr:spPr>
        <a:xfrm>
          <a:off x="4179795" y="1720102"/>
          <a:ext cx="437030"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392206</xdr:colOff>
      <xdr:row>6</xdr:row>
      <xdr:rowOff>0</xdr:rowOff>
    </xdr:from>
    <xdr:to>
      <xdr:col>6</xdr:col>
      <xdr:colOff>123265</xdr:colOff>
      <xdr:row>11</xdr:row>
      <xdr:rowOff>190499</xdr:rowOff>
    </xdr:to>
    <xdr:pic>
      <xdr:nvPicPr>
        <xdr:cNvPr id="6" name="図 5"/>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086971" y="1221441"/>
          <a:ext cx="2835088" cy="1199029"/>
        </a:xfrm>
        <a:prstGeom prst="rect">
          <a:avLst/>
        </a:prstGeom>
        <a:ln>
          <a:solidFill>
            <a:schemeClr val="bg1">
              <a:lumMod val="50000"/>
            </a:schemeClr>
          </a:solidFill>
        </a:ln>
      </xdr:spPr>
    </xdr:pic>
    <xdr:clientData/>
  </xdr:twoCellAnchor>
  <xdr:twoCellAnchor editAs="oneCell">
    <xdr:from>
      <xdr:col>5</xdr:col>
      <xdr:colOff>0</xdr:colOff>
      <xdr:row>69</xdr:row>
      <xdr:rowOff>54428</xdr:rowOff>
    </xdr:from>
    <xdr:to>
      <xdr:col>6</xdr:col>
      <xdr:colOff>435428</xdr:colOff>
      <xdr:row>79</xdr:row>
      <xdr:rowOff>-1</xdr:rowOff>
    </xdr:to>
    <xdr:pic>
      <xdr:nvPicPr>
        <xdr:cNvPr id="2" name="図 1"/>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061357" y="7606392"/>
          <a:ext cx="2394857" cy="1986644"/>
        </a:xfrm>
        <a:prstGeom prst="rect">
          <a:avLst/>
        </a:prstGeom>
      </xdr:spPr>
    </xdr:pic>
    <xdr:clientData/>
  </xdr:twoCellAnchor>
  <xdr:twoCellAnchor editAs="oneCell">
    <xdr:from>
      <xdr:col>3</xdr:col>
      <xdr:colOff>100854</xdr:colOff>
      <xdr:row>6</xdr:row>
      <xdr:rowOff>123264</xdr:rowOff>
    </xdr:from>
    <xdr:to>
      <xdr:col>6</xdr:col>
      <xdr:colOff>235324</xdr:colOff>
      <xdr:row>12</xdr:row>
      <xdr:rowOff>112058</xdr:rowOff>
    </xdr:to>
    <xdr:pic>
      <xdr:nvPicPr>
        <xdr:cNvPr id="7" name="図 6"/>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199030" y="1344705"/>
          <a:ext cx="2835088" cy="1199029"/>
        </a:xfrm>
        <a:prstGeom prst="rect">
          <a:avLst/>
        </a:prstGeom>
        <a:ln>
          <a:solidFill>
            <a:schemeClr val="bg1">
              <a:lumMod val="50000"/>
            </a:schemeClr>
          </a:solidFill>
        </a:ln>
      </xdr:spPr>
    </xdr:pic>
    <xdr:clientData/>
  </xdr:twoCellAnchor>
  <xdr:twoCellAnchor>
    <xdr:from>
      <xdr:col>6</xdr:col>
      <xdr:colOff>896470</xdr:colOff>
      <xdr:row>8</xdr:row>
      <xdr:rowOff>5602</xdr:rowOff>
    </xdr:from>
    <xdr:to>
      <xdr:col>6</xdr:col>
      <xdr:colOff>1882586</xdr:colOff>
      <xdr:row>11</xdr:row>
      <xdr:rowOff>28013</xdr:rowOff>
    </xdr:to>
    <xdr:sp macro="" textlink="">
      <xdr:nvSpPr>
        <xdr:cNvPr id="3" name="角丸四角形 2"/>
        <xdr:cNvSpPr/>
      </xdr:nvSpPr>
      <xdr:spPr>
        <a:xfrm>
          <a:off x="4695264" y="1630455"/>
          <a:ext cx="986116" cy="6275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latin typeface="Meiryo UI" panose="020B0604030504040204" pitchFamily="50" charset="-128"/>
              <a:ea typeface="Meiryo UI" panose="020B0604030504040204" pitchFamily="50" charset="-128"/>
            </a:rPr>
            <a:t>本ツール</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(vba)</a:t>
          </a:r>
        </a:p>
      </xdr:txBody>
    </xdr:sp>
    <xdr:clientData/>
  </xdr:twoCellAnchor>
  <xdr:twoCellAnchor>
    <xdr:from>
      <xdr:col>6</xdr:col>
      <xdr:colOff>2028265</xdr:colOff>
      <xdr:row>8</xdr:row>
      <xdr:rowOff>95249</xdr:rowOff>
    </xdr:from>
    <xdr:to>
      <xdr:col>6</xdr:col>
      <xdr:colOff>2465296</xdr:colOff>
      <xdr:row>10</xdr:row>
      <xdr:rowOff>140072</xdr:rowOff>
    </xdr:to>
    <xdr:sp macro="" textlink="">
      <xdr:nvSpPr>
        <xdr:cNvPr id="8" name="右矢印 7"/>
        <xdr:cNvSpPr/>
      </xdr:nvSpPr>
      <xdr:spPr>
        <a:xfrm>
          <a:off x="5827059" y="1720102"/>
          <a:ext cx="437031"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45</xdr:row>
          <xdr:rowOff>0</xdr:rowOff>
        </xdr:from>
        <xdr:to>
          <xdr:col>14</xdr:col>
          <xdr:colOff>0</xdr:colOff>
          <xdr:row>101</xdr:row>
          <xdr:rowOff>0</xdr:rowOff>
        </xdr:to>
        <xdr:sp macro="" textlink="">
          <xdr:nvSpPr>
            <xdr:cNvPr id="5122" name="acTemplate"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171450</xdr:rowOff>
        </xdr:from>
        <xdr:to>
          <xdr:col>14</xdr:col>
          <xdr:colOff>0</xdr:colOff>
          <xdr:row>20</xdr:row>
          <xdr:rowOff>171450</xdr:rowOff>
        </xdr:to>
        <xdr:sp macro="" textlink="">
          <xdr:nvSpPr>
            <xdr:cNvPr id="5123" name="acHeadTemplate"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9525</xdr:rowOff>
        </xdr:from>
        <xdr:to>
          <xdr:col>14</xdr:col>
          <xdr:colOff>0</xdr:colOff>
          <xdr:row>42</xdr:row>
          <xdr:rowOff>0</xdr:rowOff>
        </xdr:to>
        <xdr:sp macro="" textlink="">
          <xdr:nvSpPr>
            <xdr:cNvPr id="5124" name="acTailTemplate"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13</xdr:col>
          <xdr:colOff>0</xdr:colOff>
          <xdr:row>79</xdr:row>
          <xdr:rowOff>0</xdr:rowOff>
        </xdr:to>
        <xdr:sp macro="" textlink="">
          <xdr:nvSpPr>
            <xdr:cNvPr id="8193" name="icTemplate" hidden="1">
              <a:extLst>
                <a:ext uri="{63B3BB69-23CF-44E3-9099-C40C66FF867C}">
                  <a14:compatExt spid="_x0000_s8193"/>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1" name="テーブル1" displayName="テーブル1" ref="B2:I26" totalsRowShown="0" headerRowDxfId="1">
  <autoFilter ref="B2:I26"/>
  <tableColumns count="8">
    <tableColumn id="1" name="No."/>
    <tableColumn id="2" name="区分分類名"/>
    <tableColumn id="3" name="区分分類名(物理)"/>
    <tableColumn id="4" name="区分名"/>
    <tableColumn id="5" name="区分名略称"/>
    <tableColumn id="8" name="区分名(物理)"/>
    <tableColumn id="6" name="区分値" dataDxfId="0"/>
    <tableColumn id="7" name="備考"/>
  </tableColumns>
  <tableStyleInfo name="TableStyleMedium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H28"/>
  <sheetViews>
    <sheetView tabSelected="1" zoomScale="85" zoomScaleNormal="85" workbookViewId="0"/>
  </sheetViews>
  <sheetFormatPr defaultRowHeight="15.75" x14ac:dyDescent="0.25"/>
  <cols>
    <col min="1" max="1" width="3.875" style="2" customWidth="1"/>
    <col min="2" max="2" width="5.25" style="2" customWidth="1"/>
    <col min="3" max="3" width="4.875" style="2" customWidth="1"/>
    <col min="4" max="4" width="4" style="2" customWidth="1"/>
    <col min="5" max="5" width="28.25" style="2" customWidth="1"/>
    <col min="6" max="6" width="45.75" style="2" customWidth="1"/>
    <col min="7" max="7" width="37.375" style="2" customWidth="1"/>
    <col min="8" max="16384" width="9" style="2"/>
  </cols>
  <sheetData>
    <row r="2" spans="2:8" ht="16.5" x14ac:dyDescent="0.25">
      <c r="B2" s="5" t="s">
        <v>100</v>
      </c>
    </row>
    <row r="4" spans="2:8" x14ac:dyDescent="0.25">
      <c r="B4" s="1" t="s">
        <v>3</v>
      </c>
    </row>
    <row r="5" spans="2:8" x14ac:dyDescent="0.25">
      <c r="B5" s="1"/>
      <c r="C5" s="2" t="s">
        <v>107</v>
      </c>
    </row>
    <row r="6" spans="2:8" x14ac:dyDescent="0.25">
      <c r="C6" s="2" t="s">
        <v>40</v>
      </c>
    </row>
    <row r="8" spans="2:8" x14ac:dyDescent="0.25">
      <c r="B8" s="1" t="s">
        <v>6</v>
      </c>
    </row>
    <row r="9" spans="2:8" x14ac:dyDescent="0.25">
      <c r="C9" s="2" t="s">
        <v>113</v>
      </c>
    </row>
    <row r="10" spans="2:8" x14ac:dyDescent="0.25">
      <c r="C10" s="2" t="s">
        <v>4</v>
      </c>
    </row>
    <row r="12" spans="2:8" x14ac:dyDescent="0.25">
      <c r="C12" s="3" t="s">
        <v>0</v>
      </c>
      <c r="D12" s="19" t="s">
        <v>1</v>
      </c>
      <c r="E12" s="20"/>
      <c r="F12" s="3" t="s">
        <v>2</v>
      </c>
      <c r="G12" s="3" t="s">
        <v>5</v>
      </c>
      <c r="H12" s="29"/>
    </row>
    <row r="13" spans="2:8" x14ac:dyDescent="0.25">
      <c r="C13" s="8">
        <v>1</v>
      </c>
      <c r="D13" s="25" t="b">
        <v>1</v>
      </c>
      <c r="E13" s="23" t="s">
        <v>111</v>
      </c>
      <c r="F13" s="31"/>
      <c r="G13" s="7"/>
      <c r="H13" s="29"/>
    </row>
    <row r="14" spans="2:8" x14ac:dyDescent="0.25">
      <c r="C14" s="8">
        <v>2</v>
      </c>
      <c r="D14" s="25"/>
      <c r="E14" s="21" t="s">
        <v>114</v>
      </c>
      <c r="F14" s="31" t="s">
        <v>119</v>
      </c>
      <c r="G14" s="7"/>
      <c r="H14" s="29"/>
    </row>
    <row r="15" spans="2:8" ht="31.5" x14ac:dyDescent="0.25">
      <c r="C15" s="8">
        <v>3</v>
      </c>
      <c r="D15" s="26"/>
      <c r="E15" s="22" t="s">
        <v>122</v>
      </c>
      <c r="F15" s="31" t="s">
        <v>126</v>
      </c>
      <c r="G15" s="4"/>
      <c r="H15" s="30" t="str">
        <f>HYPERLINK(F15,"出力ファイルを開く")</f>
        <v>出力ファイルを開く</v>
      </c>
    </row>
    <row r="16" spans="2:8" x14ac:dyDescent="0.25">
      <c r="C16" s="8">
        <v>4</v>
      </c>
      <c r="D16" s="25" t="b">
        <v>1</v>
      </c>
      <c r="E16" s="23" t="s">
        <v>112</v>
      </c>
      <c r="F16" s="31"/>
      <c r="G16" s="4"/>
      <c r="H16" s="29"/>
    </row>
    <row r="17" spans="2:8" x14ac:dyDescent="0.25">
      <c r="C17" s="8">
        <v>5</v>
      </c>
      <c r="D17" s="25"/>
      <c r="E17" s="21" t="s">
        <v>114</v>
      </c>
      <c r="F17" s="31" t="s">
        <v>120</v>
      </c>
      <c r="G17" s="4"/>
      <c r="H17" s="29"/>
    </row>
    <row r="18" spans="2:8" ht="31.5" x14ac:dyDescent="0.25">
      <c r="C18" s="8">
        <v>6</v>
      </c>
      <c r="D18" s="26"/>
      <c r="E18" s="22" t="s">
        <v>123</v>
      </c>
      <c r="F18" s="31" t="s">
        <v>121</v>
      </c>
      <c r="G18" s="4"/>
      <c r="H18" s="30" t="str">
        <f>HYPERLINK(F18,"出力フォルダを開く")</f>
        <v>出力フォルダを開く</v>
      </c>
    </row>
    <row r="19" spans="2:8" x14ac:dyDescent="0.25">
      <c r="C19" s="8">
        <v>7</v>
      </c>
      <c r="D19" s="27" t="b">
        <v>1</v>
      </c>
      <c r="E19" s="24" t="s">
        <v>108</v>
      </c>
      <c r="F19" s="31"/>
      <c r="G19" s="7"/>
      <c r="H19" s="29"/>
    </row>
    <row r="20" spans="2:8" x14ac:dyDescent="0.25">
      <c r="C20" s="8">
        <v>8</v>
      </c>
      <c r="D20" s="26"/>
      <c r="E20" s="22" t="s">
        <v>109</v>
      </c>
      <c r="F20" s="31" t="s">
        <v>110</v>
      </c>
      <c r="G20" s="7"/>
      <c r="H20" s="29"/>
    </row>
    <row r="21" spans="2:8" x14ac:dyDescent="0.25">
      <c r="C21" s="8">
        <v>9</v>
      </c>
      <c r="D21" s="26"/>
      <c r="E21" s="22" t="s">
        <v>124</v>
      </c>
      <c r="F21" s="31" t="str">
        <f>".\output\" &amp; F20 &amp; "_insert.sql"</f>
        <v>.\output\MstCode_insert.sql</v>
      </c>
      <c r="G21" s="4"/>
      <c r="H21" s="30" t="str">
        <f>HYPERLINK(F21,"出力ファイルを開く")</f>
        <v>出力ファイルを開く</v>
      </c>
    </row>
    <row r="22" spans="2:8" x14ac:dyDescent="0.25">
      <c r="C22" s="8"/>
      <c r="D22" s="27"/>
      <c r="E22" s="24"/>
      <c r="F22" s="31"/>
      <c r="G22" s="4"/>
      <c r="H22" s="29"/>
    </row>
    <row r="23" spans="2:8" x14ac:dyDescent="0.25">
      <c r="C23" s="8"/>
      <c r="D23" s="27"/>
      <c r="E23" s="24"/>
      <c r="F23" s="31"/>
      <c r="G23" s="4"/>
      <c r="H23" s="29"/>
    </row>
    <row r="24" spans="2:8" x14ac:dyDescent="0.25">
      <c r="C24" s="2" t="s">
        <v>125</v>
      </c>
    </row>
    <row r="28" spans="2:8" x14ac:dyDescent="0.25">
      <c r="B28" s="2" t="s">
        <v>9</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CodeData_Click">
                <anchor moveWithCells="1" sizeWithCells="1">
                  <from>
                    <xdr:col>6</xdr:col>
                    <xdr:colOff>1390650</xdr:colOff>
                    <xdr:row>23</xdr:row>
                    <xdr:rowOff>171450</xdr:rowOff>
                  </from>
                  <to>
                    <xdr:col>6</xdr:col>
                    <xdr:colOff>2667000</xdr:colOff>
                    <xdr:row>25</xdr:row>
                    <xdr:rowOff>123825</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0</xdr:colOff>
                    <xdr:row>18</xdr:row>
                    <xdr:rowOff>0</xdr:rowOff>
                  </from>
                  <to>
                    <xdr:col>4</xdr:col>
                    <xdr:colOff>0</xdr:colOff>
                    <xdr:row>19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Explain"/>
  <dimension ref="B2:F82"/>
  <sheetViews>
    <sheetView zoomScale="85" zoomScaleNormal="85" workbookViewId="0"/>
  </sheetViews>
  <sheetFormatPr defaultRowHeight="15.75" x14ac:dyDescent="0.25"/>
  <cols>
    <col min="1" max="1" width="3.875" style="2" customWidth="1"/>
    <col min="2" max="3" width="5.25" style="2" customWidth="1"/>
    <col min="4" max="5" width="4.875" style="2" customWidth="1"/>
    <col min="6" max="6" width="25.75" style="2" customWidth="1"/>
    <col min="7" max="7" width="34.375" style="2" customWidth="1"/>
    <col min="8" max="8" width="35.375" style="2" customWidth="1"/>
    <col min="9" max="16384" width="9" style="2"/>
  </cols>
  <sheetData>
    <row r="2" spans="2:4" ht="16.5" x14ac:dyDescent="0.25">
      <c r="B2" s="5" t="s">
        <v>27</v>
      </c>
      <c r="C2" s="5"/>
    </row>
    <row r="4" spans="2:4" x14ac:dyDescent="0.25">
      <c r="B4" s="1" t="s">
        <v>3</v>
      </c>
      <c r="C4" s="1"/>
    </row>
    <row r="5" spans="2:4" x14ac:dyDescent="0.25">
      <c r="C5" s="2" t="s">
        <v>7</v>
      </c>
    </row>
    <row r="15" spans="2:4" x14ac:dyDescent="0.25">
      <c r="C15" s="1" t="s">
        <v>47</v>
      </c>
    </row>
    <row r="16" spans="2:4" x14ac:dyDescent="0.25">
      <c r="D16" s="2" t="s">
        <v>41</v>
      </c>
    </row>
    <row r="17" spans="3:5" x14ac:dyDescent="0.25">
      <c r="D17" s="2" t="s">
        <v>43</v>
      </c>
    </row>
    <row r="18" spans="3:5" x14ac:dyDescent="0.25">
      <c r="D18" s="2" t="s">
        <v>42</v>
      </c>
    </row>
    <row r="20" spans="3:5" x14ac:dyDescent="0.25">
      <c r="C20" s="1" t="s">
        <v>48</v>
      </c>
    </row>
    <row r="21" spans="3:5" x14ac:dyDescent="0.25">
      <c r="D21" s="2" t="s">
        <v>50</v>
      </c>
    </row>
    <row r="23" spans="3:5" x14ac:dyDescent="0.25">
      <c r="E23" s="2" t="s">
        <v>52</v>
      </c>
    </row>
    <row r="24" spans="3:5" x14ac:dyDescent="0.25">
      <c r="E24" s="2" t="s">
        <v>51</v>
      </c>
    </row>
    <row r="25" spans="3:5" x14ac:dyDescent="0.25">
      <c r="E25" s="2" t="s">
        <v>53</v>
      </c>
    </row>
    <row r="26" spans="3:5" x14ac:dyDescent="0.25">
      <c r="E26" s="2" t="s">
        <v>56</v>
      </c>
    </row>
    <row r="28" spans="3:5" x14ac:dyDescent="0.25">
      <c r="D28" s="2" t="s">
        <v>55</v>
      </c>
    </row>
    <row r="30" spans="3:5" x14ac:dyDescent="0.25">
      <c r="E30" s="2" t="s">
        <v>54</v>
      </c>
    </row>
    <row r="31" spans="3:5" x14ac:dyDescent="0.25">
      <c r="E31" s="2" t="s">
        <v>59</v>
      </c>
    </row>
    <row r="32" spans="3:5" x14ac:dyDescent="0.25">
      <c r="E32" s="2" t="s">
        <v>58</v>
      </c>
    </row>
    <row r="33" spans="3:6" x14ac:dyDescent="0.25">
      <c r="F33" s="2" t="s">
        <v>62</v>
      </c>
    </row>
    <row r="34" spans="3:6" x14ac:dyDescent="0.25">
      <c r="F34" s="2" t="s">
        <v>46</v>
      </c>
    </row>
    <row r="35" spans="3:6" x14ac:dyDescent="0.25">
      <c r="F35" s="2" t="s">
        <v>44</v>
      </c>
    </row>
    <row r="36" spans="3:6" x14ac:dyDescent="0.25">
      <c r="F36" s="2" t="s">
        <v>49</v>
      </c>
    </row>
    <row r="37" spans="3:6" x14ac:dyDescent="0.25">
      <c r="C37" s="1"/>
      <c r="E37" s="2" t="s">
        <v>45</v>
      </c>
    </row>
    <row r="38" spans="3:6" x14ac:dyDescent="0.25">
      <c r="C38" s="1"/>
      <c r="F38" s="2" t="s">
        <v>11</v>
      </c>
    </row>
    <row r="39" spans="3:6" x14ac:dyDescent="0.25">
      <c r="C39" s="1"/>
      <c r="F39" s="2" t="s">
        <v>19</v>
      </c>
    </row>
    <row r="40" spans="3:6" x14ac:dyDescent="0.25">
      <c r="F40" s="2" t="s">
        <v>35</v>
      </c>
    </row>
    <row r="41" spans="3:6" x14ac:dyDescent="0.25">
      <c r="C41" s="1"/>
      <c r="F41" s="2" t="s">
        <v>31</v>
      </c>
    </row>
    <row r="43" spans="3:6" x14ac:dyDescent="0.25">
      <c r="F43" s="2" t="s">
        <v>33</v>
      </c>
    </row>
    <row r="44" spans="3:6" x14ac:dyDescent="0.25">
      <c r="F44" s="9" t="s">
        <v>34</v>
      </c>
    </row>
    <row r="45" spans="3:6" x14ac:dyDescent="0.25">
      <c r="F45" s="2" t="s">
        <v>13</v>
      </c>
    </row>
    <row r="46" spans="3:6" x14ac:dyDescent="0.25">
      <c r="F46" s="2" t="s">
        <v>14</v>
      </c>
    </row>
    <row r="47" spans="3:6" x14ac:dyDescent="0.25">
      <c r="F47" s="2" t="s">
        <v>15</v>
      </c>
    </row>
    <row r="48" spans="3:6" x14ac:dyDescent="0.25">
      <c r="F48" s="2" t="s">
        <v>16</v>
      </c>
    </row>
    <row r="49" spans="2:6" x14ac:dyDescent="0.25">
      <c r="F49" s="2" t="s">
        <v>17</v>
      </c>
    </row>
    <row r="50" spans="2:6" x14ac:dyDescent="0.25">
      <c r="F50" s="2" t="s">
        <v>18</v>
      </c>
    </row>
    <row r="51" spans="2:6" x14ac:dyDescent="0.25">
      <c r="F51" s="2" t="s">
        <v>61</v>
      </c>
    </row>
    <row r="53" spans="2:6" x14ac:dyDescent="0.25">
      <c r="C53" s="1" t="s">
        <v>57</v>
      </c>
    </row>
    <row r="54" spans="2:6" x14ac:dyDescent="0.25">
      <c r="C54" s="1"/>
      <c r="D54" s="2" t="s">
        <v>60</v>
      </c>
    </row>
    <row r="55" spans="2:6" x14ac:dyDescent="0.25">
      <c r="D55" s="2" t="s">
        <v>65</v>
      </c>
    </row>
    <row r="57" spans="2:6" x14ac:dyDescent="0.25">
      <c r="B57" s="1" t="s">
        <v>8</v>
      </c>
      <c r="C57" s="1"/>
    </row>
    <row r="58" spans="2:6" x14ac:dyDescent="0.25">
      <c r="B58" s="6" t="s">
        <v>25</v>
      </c>
      <c r="C58" s="2" t="s">
        <v>10</v>
      </c>
    </row>
    <row r="59" spans="2:6" x14ac:dyDescent="0.25">
      <c r="D59" s="2" t="s">
        <v>20</v>
      </c>
    </row>
    <row r="60" spans="2:6" x14ac:dyDescent="0.25">
      <c r="D60" s="2" t="s">
        <v>21</v>
      </c>
    </row>
    <row r="61" spans="2:6" x14ac:dyDescent="0.25">
      <c r="D61" s="2" t="s">
        <v>22</v>
      </c>
    </row>
    <row r="62" spans="2:6" x14ac:dyDescent="0.25">
      <c r="D62" s="2" t="s">
        <v>23</v>
      </c>
    </row>
    <row r="63" spans="2:6" x14ac:dyDescent="0.25">
      <c r="D63" s="2" t="s">
        <v>24</v>
      </c>
    </row>
    <row r="64" spans="2:6" x14ac:dyDescent="0.25">
      <c r="B64" s="6" t="s">
        <v>26</v>
      </c>
      <c r="C64" s="2" t="s">
        <v>64</v>
      </c>
    </row>
    <row r="65" spans="2:4" x14ac:dyDescent="0.25">
      <c r="B65" s="6" t="s">
        <v>29</v>
      </c>
      <c r="C65" s="2" t="s">
        <v>30</v>
      </c>
    </row>
    <row r="66" spans="2:4" x14ac:dyDescent="0.25">
      <c r="B66" s="6" t="s">
        <v>63</v>
      </c>
      <c r="C66" s="2" t="s">
        <v>12</v>
      </c>
    </row>
    <row r="67" spans="2:4" x14ac:dyDescent="0.25">
      <c r="C67" s="2" t="s">
        <v>28</v>
      </c>
    </row>
    <row r="69" spans="2:4" x14ac:dyDescent="0.25">
      <c r="D69" s="2" t="s">
        <v>32</v>
      </c>
    </row>
    <row r="82" spans="2:2" x14ac:dyDescent="0.25">
      <c r="B82" s="2" t="s">
        <v>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I26"/>
  <sheetViews>
    <sheetView zoomScale="85" zoomScaleNormal="85" workbookViewId="0">
      <selection activeCell="C11" sqref="C11"/>
    </sheetView>
  </sheetViews>
  <sheetFormatPr defaultRowHeight="13.5" x14ac:dyDescent="0.15"/>
  <cols>
    <col min="1" max="1" width="4.625" customWidth="1"/>
    <col min="2" max="2" width="7" customWidth="1"/>
    <col min="3" max="3" width="22.375" customWidth="1"/>
    <col min="4" max="4" width="23.875" customWidth="1"/>
    <col min="5" max="5" width="18.5" customWidth="1"/>
    <col min="6" max="6" width="14.75" customWidth="1"/>
    <col min="7" max="7" width="15.875" customWidth="1"/>
    <col min="8" max="8" width="16.375" style="18" customWidth="1"/>
    <col min="9" max="9" width="29.875" customWidth="1"/>
  </cols>
  <sheetData>
    <row r="2" spans="2:9" x14ac:dyDescent="0.15">
      <c r="B2" t="s">
        <v>66</v>
      </c>
      <c r="C2" s="16" t="s">
        <v>101</v>
      </c>
      <c r="D2" s="16" t="s">
        <v>102</v>
      </c>
      <c r="E2" s="16" t="s">
        <v>103</v>
      </c>
      <c r="F2" s="16" t="s">
        <v>104</v>
      </c>
      <c r="G2" s="16" t="s">
        <v>105</v>
      </c>
      <c r="H2" s="17" t="s">
        <v>106</v>
      </c>
      <c r="I2" s="16" t="s">
        <v>5</v>
      </c>
    </row>
    <row r="3" spans="2:9" x14ac:dyDescent="0.15">
      <c r="B3">
        <f>ROW()-2</f>
        <v>1</v>
      </c>
      <c r="C3" t="s">
        <v>67</v>
      </c>
      <c r="D3" t="s">
        <v>68</v>
      </c>
      <c r="E3" t="s">
        <v>69</v>
      </c>
      <c r="G3" t="s">
        <v>70</v>
      </c>
      <c r="H3" s="18" t="s">
        <v>94</v>
      </c>
    </row>
    <row r="4" spans="2:9" x14ac:dyDescent="0.15">
      <c r="B4">
        <f t="shared" ref="B4:B26" si="0">ROW()-2</f>
        <v>2</v>
      </c>
      <c r="E4" t="s">
        <v>72</v>
      </c>
      <c r="G4" t="s">
        <v>73</v>
      </c>
      <c r="H4" s="18" t="s">
        <v>92</v>
      </c>
    </row>
    <row r="5" spans="2:9" x14ac:dyDescent="0.15">
      <c r="B5">
        <f t="shared" si="0"/>
        <v>3</v>
      </c>
      <c r="E5" t="s">
        <v>97</v>
      </c>
      <c r="G5" t="s">
        <v>96</v>
      </c>
      <c r="H5" s="18" t="s">
        <v>95</v>
      </c>
    </row>
    <row r="6" spans="2:9" x14ac:dyDescent="0.15">
      <c r="B6">
        <f t="shared" si="0"/>
        <v>4</v>
      </c>
      <c r="C6" t="s">
        <v>74</v>
      </c>
      <c r="D6" t="s">
        <v>75</v>
      </c>
      <c r="E6" t="s">
        <v>77</v>
      </c>
      <c r="G6" t="s">
        <v>78</v>
      </c>
      <c r="H6" s="18" t="s">
        <v>93</v>
      </c>
    </row>
    <row r="7" spans="2:9" x14ac:dyDescent="0.15">
      <c r="B7">
        <f t="shared" si="0"/>
        <v>5</v>
      </c>
      <c r="E7" t="s">
        <v>76</v>
      </c>
      <c r="G7" t="s">
        <v>98</v>
      </c>
      <c r="H7" s="18" t="s">
        <v>99</v>
      </c>
    </row>
    <row r="8" spans="2:9" x14ac:dyDescent="0.15">
      <c r="B8">
        <f t="shared" si="0"/>
        <v>6</v>
      </c>
      <c r="C8" t="s">
        <v>80</v>
      </c>
      <c r="D8" t="s">
        <v>81</v>
      </c>
      <c r="E8" t="s">
        <v>82</v>
      </c>
      <c r="F8" t="s">
        <v>85</v>
      </c>
      <c r="G8" t="s">
        <v>88</v>
      </c>
      <c r="H8" s="18" t="s">
        <v>79</v>
      </c>
    </row>
    <row r="9" spans="2:9" x14ac:dyDescent="0.15">
      <c r="B9">
        <f t="shared" si="0"/>
        <v>7</v>
      </c>
      <c r="E9" t="s">
        <v>83</v>
      </c>
      <c r="F9" t="s">
        <v>86</v>
      </c>
      <c r="G9" t="s">
        <v>89</v>
      </c>
      <c r="H9" s="18" t="s">
        <v>71</v>
      </c>
    </row>
    <row r="10" spans="2:9" x14ac:dyDescent="0.15">
      <c r="B10">
        <f t="shared" si="0"/>
        <v>8</v>
      </c>
      <c r="E10" t="s">
        <v>84</v>
      </c>
      <c r="F10" t="s">
        <v>87</v>
      </c>
      <c r="G10" t="s">
        <v>90</v>
      </c>
      <c r="H10" s="18" t="s">
        <v>91</v>
      </c>
    </row>
    <row r="11" spans="2:9" x14ac:dyDescent="0.15">
      <c r="B11">
        <f t="shared" si="0"/>
        <v>9</v>
      </c>
    </row>
    <row r="12" spans="2:9" x14ac:dyDescent="0.15">
      <c r="B12">
        <f t="shared" si="0"/>
        <v>10</v>
      </c>
    </row>
    <row r="13" spans="2:9" x14ac:dyDescent="0.15">
      <c r="B13">
        <f t="shared" si="0"/>
        <v>11</v>
      </c>
    </row>
    <row r="14" spans="2:9" x14ac:dyDescent="0.15">
      <c r="B14">
        <f t="shared" si="0"/>
        <v>12</v>
      </c>
    </row>
    <row r="15" spans="2:9" x14ac:dyDescent="0.15">
      <c r="B15">
        <f t="shared" si="0"/>
        <v>13</v>
      </c>
    </row>
    <row r="16" spans="2:9" x14ac:dyDescent="0.15">
      <c r="B16">
        <f t="shared" si="0"/>
        <v>14</v>
      </c>
    </row>
    <row r="17" spans="2:2" x14ac:dyDescent="0.15">
      <c r="B17">
        <f t="shared" si="0"/>
        <v>15</v>
      </c>
    </row>
    <row r="18" spans="2:2" x14ac:dyDescent="0.15">
      <c r="B18">
        <f t="shared" si="0"/>
        <v>16</v>
      </c>
    </row>
    <row r="19" spans="2:2" x14ac:dyDescent="0.15">
      <c r="B19">
        <f t="shared" si="0"/>
        <v>17</v>
      </c>
    </row>
    <row r="20" spans="2:2" x14ac:dyDescent="0.15">
      <c r="B20">
        <f t="shared" si="0"/>
        <v>18</v>
      </c>
    </row>
    <row r="21" spans="2:2" x14ac:dyDescent="0.15">
      <c r="B21">
        <f t="shared" si="0"/>
        <v>19</v>
      </c>
    </row>
    <row r="22" spans="2:2" x14ac:dyDescent="0.15">
      <c r="B22">
        <f t="shared" si="0"/>
        <v>20</v>
      </c>
    </row>
    <row r="23" spans="2:2" x14ac:dyDescent="0.15">
      <c r="B23">
        <f t="shared" si="0"/>
        <v>21</v>
      </c>
    </row>
    <row r="24" spans="2:2" x14ac:dyDescent="0.15">
      <c r="B24">
        <f t="shared" si="0"/>
        <v>22</v>
      </c>
    </row>
    <row r="25" spans="2:2" x14ac:dyDescent="0.15">
      <c r="B25">
        <f t="shared" si="0"/>
        <v>23</v>
      </c>
    </row>
    <row r="26" spans="2:2" x14ac:dyDescent="0.15">
      <c r="B26">
        <f t="shared" si="0"/>
        <v>24</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cTemplateSheet"/>
  <dimension ref="B2:B44"/>
  <sheetViews>
    <sheetView topLeftCell="A53" zoomScale="85" zoomScaleNormal="85" workbookViewId="0">
      <selection activeCell="B51" sqref="B51"/>
    </sheetView>
  </sheetViews>
  <sheetFormatPr defaultRowHeight="13.5" x14ac:dyDescent="0.15"/>
  <sheetData>
    <row r="2" spans="2:2" x14ac:dyDescent="0.15">
      <c r="B2" s="28" t="s">
        <v>115</v>
      </c>
    </row>
    <row r="23" spans="2:2" x14ac:dyDescent="0.15">
      <c r="B23" s="28" t="s">
        <v>116</v>
      </c>
    </row>
    <row r="24" spans="2:2" x14ac:dyDescent="0.15">
      <c r="B24" s="28"/>
    </row>
    <row r="44" spans="2:2" x14ac:dyDescent="0.15">
      <c r="B44" s="28" t="s">
        <v>117</v>
      </c>
    </row>
  </sheetData>
  <phoneticPr fontId="1"/>
  <pageMargins left="0.7" right="0.7" top="0.75" bottom="0.75" header="0.3" footer="0.3"/>
  <drawing r:id="rId1"/>
  <legacyDrawing r:id="rId2"/>
  <controls>
    <mc:AlternateContent xmlns:mc="http://schemas.openxmlformats.org/markup-compatibility/2006">
      <mc:Choice Requires="x14">
        <control shapeId="5122" r:id="rId3" name="acTemplate">
          <controlPr defaultSize="0" autoLine="0" r:id="rId4">
            <anchor moveWithCells="1">
              <from>
                <xdr:col>2</xdr:col>
                <xdr:colOff>0</xdr:colOff>
                <xdr:row>45</xdr:row>
                <xdr:rowOff>0</xdr:rowOff>
              </from>
              <to>
                <xdr:col>14</xdr:col>
                <xdr:colOff>0</xdr:colOff>
                <xdr:row>101</xdr:row>
                <xdr:rowOff>0</xdr:rowOff>
              </to>
            </anchor>
          </controlPr>
        </control>
      </mc:Choice>
      <mc:Fallback>
        <control shapeId="5122" r:id="rId3" name="acTemplate"/>
      </mc:Fallback>
    </mc:AlternateContent>
    <mc:AlternateContent xmlns:mc="http://schemas.openxmlformats.org/markup-compatibility/2006">
      <mc:Choice Requires="x14">
        <control shapeId="5123" r:id="rId5" name="acHeadTemplate">
          <controlPr defaultSize="0" autoLine="0" r:id="rId6">
            <anchor moveWithCells="1">
              <from>
                <xdr:col>2</xdr:col>
                <xdr:colOff>0</xdr:colOff>
                <xdr:row>3</xdr:row>
                <xdr:rowOff>0</xdr:rowOff>
              </from>
              <to>
                <xdr:col>14</xdr:col>
                <xdr:colOff>0</xdr:colOff>
                <xdr:row>21</xdr:row>
                <xdr:rowOff>0</xdr:rowOff>
              </to>
            </anchor>
          </controlPr>
        </control>
      </mc:Choice>
      <mc:Fallback>
        <control shapeId="5123" r:id="rId5" name="acHeadTemplate"/>
      </mc:Fallback>
    </mc:AlternateContent>
    <mc:AlternateContent xmlns:mc="http://schemas.openxmlformats.org/markup-compatibility/2006">
      <mc:Choice Requires="x14">
        <control shapeId="5124" r:id="rId7" name="acTailTemplate">
          <controlPr defaultSize="0" autoLine="0" r:id="rId8">
            <anchor moveWithCells="1">
              <from>
                <xdr:col>2</xdr:col>
                <xdr:colOff>0</xdr:colOff>
                <xdr:row>24</xdr:row>
                <xdr:rowOff>9525</xdr:rowOff>
              </from>
              <to>
                <xdr:col>14</xdr:col>
                <xdr:colOff>0</xdr:colOff>
                <xdr:row>42</xdr:row>
                <xdr:rowOff>0</xdr:rowOff>
              </to>
            </anchor>
          </controlPr>
        </control>
      </mc:Choice>
      <mc:Fallback>
        <control shapeId="5124" r:id="rId7" name="acTailTemplat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cTemplateSheet"/>
  <dimension ref="A1"/>
  <sheetViews>
    <sheetView topLeftCell="A13" zoomScale="85" zoomScaleNormal="85" workbookViewId="0">
      <selection activeCell="O57" sqref="O57"/>
    </sheetView>
  </sheetViews>
  <sheetFormatPr defaultRowHeight="13.5" x14ac:dyDescent="0.15"/>
  <sheetData/>
  <phoneticPr fontId="1"/>
  <pageMargins left="0.7" right="0.7" top="0.75" bottom="0.75" header="0.3" footer="0.3"/>
  <drawing r:id="rId1"/>
  <legacyDrawing r:id="rId2"/>
  <controls>
    <mc:AlternateContent xmlns:mc="http://schemas.openxmlformats.org/markup-compatibility/2006">
      <mc:Choice Requires="x14">
        <control shapeId="8193" r:id="rId3" name="icTemplate">
          <controlPr defaultSize="0" autoLine="0" r:id="rId4">
            <anchor moveWithCells="1">
              <from>
                <xdr:col>1</xdr:col>
                <xdr:colOff>0</xdr:colOff>
                <xdr:row>3</xdr:row>
                <xdr:rowOff>0</xdr:rowOff>
              </from>
              <to>
                <xdr:col>13</xdr:col>
                <xdr:colOff>0</xdr:colOff>
                <xdr:row>79</xdr:row>
                <xdr:rowOff>0</xdr:rowOff>
              </to>
            </anchor>
          </controlPr>
        </control>
      </mc:Choice>
      <mc:Fallback>
        <control shapeId="8193" r:id="rId3" name="icTempl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election activeCell="D3" sqref="D3"/>
    </sheetView>
  </sheetViews>
  <sheetFormatPr defaultRowHeight="13.5" x14ac:dyDescent="0.15"/>
  <cols>
    <col min="1" max="1" width="3.25" customWidth="1"/>
    <col min="2" max="2" width="10.125" style="14" customWidth="1"/>
    <col min="3" max="3" width="11.875" customWidth="1"/>
    <col min="4" max="4" width="40.625" customWidth="1"/>
    <col min="5" max="5" width="45.25" customWidth="1"/>
  </cols>
  <sheetData>
    <row r="2" spans="2:5" x14ac:dyDescent="0.15">
      <c r="B2" s="15" t="s">
        <v>36</v>
      </c>
      <c r="C2" s="12" t="s">
        <v>37</v>
      </c>
      <c r="D2" s="12" t="s">
        <v>38</v>
      </c>
      <c r="E2" s="12" t="s">
        <v>5</v>
      </c>
    </row>
    <row r="3" spans="2:5" x14ac:dyDescent="0.15">
      <c r="B3" s="13" t="s">
        <v>118</v>
      </c>
      <c r="C3" s="11">
        <v>43487</v>
      </c>
      <c r="D3" s="10" t="s">
        <v>39</v>
      </c>
      <c r="E3" s="10"/>
    </row>
    <row r="4" spans="2:5" x14ac:dyDescent="0.15">
      <c r="B4" s="13"/>
      <c r="C4" s="10"/>
      <c r="D4" s="10"/>
      <c r="E4" s="10"/>
    </row>
    <row r="5" spans="2:5" x14ac:dyDescent="0.15">
      <c r="B5" s="13"/>
      <c r="C5" s="10"/>
      <c r="D5" s="10"/>
      <c r="E5" s="10"/>
    </row>
    <row r="6" spans="2:5" x14ac:dyDescent="0.15">
      <c r="B6" s="13"/>
      <c r="C6" s="10"/>
      <c r="D6" s="10"/>
      <c r="E6" s="10"/>
    </row>
    <row r="7" spans="2:5" x14ac:dyDescent="0.15">
      <c r="B7" s="13"/>
      <c r="C7" s="10"/>
      <c r="D7" s="10"/>
      <c r="E7" s="10"/>
    </row>
    <row r="8" spans="2:5" x14ac:dyDescent="0.15">
      <c r="B8" s="13"/>
      <c r="C8" s="10"/>
      <c r="D8" s="10"/>
      <c r="E8" s="10"/>
    </row>
    <row r="9" spans="2:5" x14ac:dyDescent="0.15">
      <c r="B9" s="13"/>
      <c r="C9" s="10"/>
      <c r="D9" s="10"/>
      <c r="E9" s="10"/>
    </row>
    <row r="10" spans="2:5" x14ac:dyDescent="0.15">
      <c r="B10" s="13"/>
      <c r="C10" s="10"/>
      <c r="D10" s="10"/>
      <c r="E10" s="10"/>
    </row>
    <row r="11" spans="2:5" x14ac:dyDescent="0.15">
      <c r="B11" s="13"/>
      <c r="C11" s="10"/>
      <c r="D11" s="10"/>
      <c r="E11" s="10"/>
    </row>
    <row r="12" spans="2:5" x14ac:dyDescent="0.15">
      <c r="B12" s="13"/>
      <c r="C12" s="10"/>
      <c r="D12" s="10"/>
      <c r="E12" s="10"/>
    </row>
    <row r="13" spans="2:5" x14ac:dyDescent="0.15">
      <c r="B13" s="13"/>
      <c r="C13" s="10"/>
      <c r="D13" s="10"/>
      <c r="E13" s="10"/>
    </row>
    <row r="14" spans="2:5" x14ac:dyDescent="0.15">
      <c r="B14" s="13"/>
      <c r="C14" s="10"/>
      <c r="D14" s="10"/>
      <c r="E14" s="10"/>
    </row>
    <row r="15" spans="2:5" x14ac:dyDescent="0.15">
      <c r="B15" s="13"/>
      <c r="C15" s="10"/>
      <c r="D15" s="10"/>
      <c r="E15" s="10"/>
    </row>
    <row r="16" spans="2:5" x14ac:dyDescent="0.15">
      <c r="B16" s="13"/>
      <c r="C16" s="10"/>
      <c r="D16" s="10"/>
      <c r="E16" s="10"/>
    </row>
    <row r="17" spans="2:5" x14ac:dyDescent="0.15">
      <c r="B17" s="13"/>
      <c r="C17" s="10"/>
      <c r="D17" s="10"/>
      <c r="E17" s="10"/>
    </row>
    <row r="18" spans="2:5" x14ac:dyDescent="0.15">
      <c r="B18" s="13"/>
      <c r="C18" s="10"/>
      <c r="D18" s="10"/>
      <c r="E18" s="10"/>
    </row>
    <row r="19" spans="2:5" x14ac:dyDescent="0.15">
      <c r="B19" s="13"/>
      <c r="C19" s="10"/>
      <c r="D19" s="10"/>
      <c r="E19" s="10"/>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ツール実行</vt:lpstr>
      <vt:lpstr>説明</vt:lpstr>
      <vt:lpstr>コード一覧</vt:lpstr>
      <vt:lpstr>集約クラステンプレート</vt:lpstr>
      <vt:lpstr>個別クラステンプレート</vt:lpstr>
      <vt:lpstr>改定履歴</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yukiharu</cp:lastModifiedBy>
  <dcterms:created xsi:type="dcterms:W3CDTF">2006-09-16T00:00:00Z</dcterms:created>
  <dcterms:modified xsi:type="dcterms:W3CDTF">2019-01-24T14:28:30Z</dcterms:modified>
</cp:coreProperties>
</file>